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05" windowWidth="19935" windowHeight="8070"/>
  </bookViews>
  <sheets>
    <sheet name="loading" sheetId="1" r:id="rId1"/>
  </sheets>
  <definedNames>
    <definedName name="_xlnm.Print_Area" localSheetId="0">loading!$A$1:$J$49</definedName>
  </definedNames>
  <calcPr calcId="144525"/>
</workbook>
</file>

<file path=xl/calcChain.xml><?xml version="1.0" encoding="utf-8"?>
<calcChain xmlns="http://schemas.openxmlformats.org/spreadsheetml/2006/main">
  <c r="G45" i="1" l="1"/>
  <c r="G44" i="1"/>
  <c r="G40" i="1"/>
  <c r="G39" i="1"/>
  <c r="G38" i="1"/>
  <c r="G33" i="1"/>
  <c r="G41" i="1" l="1"/>
  <c r="G48" i="1"/>
  <c r="G18" i="1"/>
  <c r="G17" i="1"/>
  <c r="G30" i="1"/>
  <c r="G31" i="1" s="1"/>
  <c r="G27" i="1"/>
  <c r="G28" i="1" s="1"/>
  <c r="G12" i="1"/>
  <c r="G19" i="1" l="1"/>
  <c r="G11" i="1"/>
  <c r="G14" i="1" s="1"/>
  <c r="G24" i="1" l="1"/>
  <c r="G25" i="1" s="1"/>
</calcChain>
</file>

<file path=xl/sharedStrings.xml><?xml version="1.0" encoding="utf-8"?>
<sst xmlns="http://schemas.openxmlformats.org/spreadsheetml/2006/main" count="51" uniqueCount="30">
  <si>
    <t>Live Load</t>
  </si>
  <si>
    <t>kg/m</t>
  </si>
  <si>
    <t>say</t>
  </si>
  <si>
    <t>LOAD CALCULATION</t>
  </si>
  <si>
    <t>Floor Finish</t>
  </si>
  <si>
    <t>Roof</t>
  </si>
  <si>
    <t>Dead Load on Floor</t>
  </si>
  <si>
    <t>Dead load of slab</t>
  </si>
  <si>
    <t>Partition</t>
  </si>
  <si>
    <t>Dead Load on Roof</t>
  </si>
  <si>
    <t>Weathering Course and Tiles</t>
  </si>
  <si>
    <t>Parapet Wall</t>
  </si>
  <si>
    <t>Floor</t>
  </si>
  <si>
    <t>Stair</t>
  </si>
  <si>
    <t>Balcony</t>
  </si>
  <si>
    <t>A</t>
  </si>
  <si>
    <t>On Floor Beam 115 thk wall</t>
  </si>
  <si>
    <t xml:space="preserve">On Plinth Beam </t>
  </si>
  <si>
    <t>On Floor beam 230 thk wall</t>
  </si>
  <si>
    <t>Load on Toilet Slab</t>
  </si>
  <si>
    <t>Weight of Filling</t>
  </si>
  <si>
    <t>Load on Stair Slab</t>
  </si>
  <si>
    <t>Brick work (tread &amp; Riser)</t>
  </si>
  <si>
    <t xml:space="preserve">Floor Finish for Sloping Portion </t>
  </si>
  <si>
    <t>B</t>
  </si>
  <si>
    <t>C</t>
  </si>
  <si>
    <t>D</t>
  </si>
  <si>
    <r>
      <t>kg/m</t>
    </r>
    <r>
      <rPr>
        <b/>
        <vertAlign val="superscript"/>
        <sz val="14"/>
        <color theme="1"/>
        <rFont val="Calibri"/>
        <family val="2"/>
        <scheme val="minor"/>
      </rPr>
      <t>2</t>
    </r>
  </si>
  <si>
    <r>
      <t>Brick Work Load</t>
    </r>
    <r>
      <rPr>
        <b/>
        <sz val="14"/>
        <color rgb="FF000000"/>
        <rFont val="Calibri"/>
        <family val="2"/>
        <scheme val="minor"/>
      </rPr>
      <t xml:space="preserve"> </t>
    </r>
  </si>
  <si>
    <t>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</si>
</sst>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vertAlign val="superscript"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u/>
      <sz val="3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Border="1"/>
    <xf numFmtId="0" fontId="3" fillId="0" borderId="0" xfId="0" applyFont="1" applyBorder="1"/>
    <xf numFmtId="0" fontId="1" fillId="0" borderId="0" xfId="0" applyFont="1" applyBorder="1" applyAlignment="1">
      <alignment horizontal="left" readingOrder="1"/>
    </xf>
    <xf numFmtId="2" fontId="2" fillId="0" borderId="0" xfId="0" applyNumberFormat="1" applyFont="1" applyBorder="1"/>
    <xf numFmtId="1" fontId="2" fillId="0" borderId="0" xfId="0" applyNumberFormat="1" applyFont="1" applyBorder="1"/>
    <xf numFmtId="0" fontId="4" fillId="0" borderId="0" xfId="0" applyFont="1" applyBorder="1" applyAlignment="1">
      <alignment horizontal="left" readingOrder="1"/>
    </xf>
    <xf numFmtId="1" fontId="3" fillId="0" borderId="0" xfId="0" applyNumberFormat="1" applyFont="1" applyBorder="1"/>
    <xf numFmtId="0" fontId="2" fillId="0" borderId="0" xfId="0" applyFont="1" applyBorder="1" applyAlignment="1"/>
    <xf numFmtId="0" fontId="2" fillId="0" borderId="0" xfId="0" applyFont="1" applyBorder="1" applyAlignment="1">
      <alignment horizontal="right"/>
    </xf>
    <xf numFmtId="0" fontId="3" fillId="0" borderId="0" xfId="0" applyFont="1" applyBorder="1" applyAlignment="1"/>
    <xf numFmtId="0" fontId="3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7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285750</xdr:colOff>
      <xdr:row>31</xdr:row>
      <xdr:rowOff>100012</xdr:rowOff>
    </xdr:from>
    <xdr:ext cx="914400" cy="264560"/>
    <xdr:sp macro="" textlink="">
      <xdr:nvSpPr>
        <xdr:cNvPr id="2" name="TextBox 1"/>
        <xdr:cNvSpPr txBox="1"/>
      </xdr:nvSpPr>
      <xdr:spPr>
        <a:xfrm>
          <a:off x="5953125" y="11006137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view="pageBreakPreview" zoomScale="85" zoomScaleNormal="100" zoomScaleSheetLayoutView="85" workbookViewId="0">
      <selection sqref="A1:XFD1"/>
    </sheetView>
  </sheetViews>
  <sheetFormatPr defaultRowHeight="18.75" x14ac:dyDescent="0.3"/>
  <cols>
    <col min="1" max="1" width="5.7109375" style="1" customWidth="1"/>
    <col min="2" max="2" width="4.7109375" style="1" customWidth="1"/>
    <col min="3" max="3" width="31.42578125" style="1" customWidth="1"/>
    <col min="4" max="4" width="9.5703125" style="4" customWidth="1"/>
    <col min="5" max="5" width="7.28515625" style="4" bestFit="1" customWidth="1"/>
    <col min="6" max="6" width="7.42578125" style="1" customWidth="1"/>
    <col min="7" max="7" width="9.140625" style="5" bestFit="1" customWidth="1"/>
    <col min="8" max="8" width="7.5703125" style="1" customWidth="1"/>
    <col min="9" max="9" width="7" style="1" customWidth="1"/>
    <col min="10" max="16384" width="9.140625" style="1"/>
  </cols>
  <sheetData>
    <row r="1" spans="1:11" ht="39" x14ac:dyDescent="0.6">
      <c r="A1" s="13" t="s">
        <v>3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26.1" customHeight="1" x14ac:dyDescent="0.3">
      <c r="B3" s="2">
        <v>1</v>
      </c>
      <c r="C3" s="3" t="s">
        <v>0</v>
      </c>
    </row>
    <row r="4" spans="1:11" ht="26.1" customHeight="1" x14ac:dyDescent="0.3">
      <c r="C4" s="6" t="s">
        <v>12</v>
      </c>
      <c r="G4" s="7">
        <v>200</v>
      </c>
      <c r="H4" s="2" t="s">
        <v>27</v>
      </c>
    </row>
    <row r="5" spans="1:11" ht="26.1" customHeight="1" x14ac:dyDescent="0.3">
      <c r="C5" s="6" t="s">
        <v>5</v>
      </c>
      <c r="G5" s="7">
        <v>150</v>
      </c>
      <c r="H5" s="2" t="s">
        <v>27</v>
      </c>
    </row>
    <row r="6" spans="1:11" ht="26.1" customHeight="1" x14ac:dyDescent="0.3">
      <c r="C6" s="6" t="s">
        <v>13</v>
      </c>
      <c r="G6" s="7">
        <v>300</v>
      </c>
      <c r="H6" s="2" t="s">
        <v>27</v>
      </c>
    </row>
    <row r="7" spans="1:11" ht="26.1" customHeight="1" x14ac:dyDescent="0.3">
      <c r="B7" s="8"/>
      <c r="C7" s="6" t="s">
        <v>14</v>
      </c>
      <c r="G7" s="7">
        <v>300</v>
      </c>
      <c r="H7" s="2" t="s">
        <v>27</v>
      </c>
    </row>
    <row r="8" spans="1:11" ht="26.1" customHeight="1" x14ac:dyDescent="0.3">
      <c r="B8" s="8"/>
      <c r="C8" s="6"/>
      <c r="G8" s="7"/>
      <c r="H8" s="2"/>
    </row>
    <row r="9" spans="1:11" ht="26.1" customHeight="1" x14ac:dyDescent="0.3">
      <c r="B9" s="8"/>
      <c r="C9" s="6"/>
      <c r="G9" s="7"/>
      <c r="H9" s="2"/>
    </row>
    <row r="10" spans="1:11" ht="26.1" customHeight="1" x14ac:dyDescent="0.3">
      <c r="B10" s="2">
        <v>2</v>
      </c>
      <c r="C10" s="3" t="s">
        <v>6</v>
      </c>
    </row>
    <row r="11" spans="1:11" ht="26.1" customHeight="1" x14ac:dyDescent="0.3">
      <c r="C11" s="6" t="s">
        <v>7</v>
      </c>
      <c r="D11" s="4">
        <v>1</v>
      </c>
      <c r="E11" s="4">
        <v>0.13</v>
      </c>
      <c r="F11" s="1">
        <v>2500</v>
      </c>
      <c r="G11" s="5">
        <f>PRODUCT(D11:F11)</f>
        <v>325</v>
      </c>
      <c r="H11" s="2"/>
    </row>
    <row r="12" spans="1:11" ht="26.1" customHeight="1" x14ac:dyDescent="0.3">
      <c r="C12" s="6" t="s">
        <v>4</v>
      </c>
      <c r="D12" s="4">
        <v>1</v>
      </c>
      <c r="E12" s="4">
        <v>0.05</v>
      </c>
      <c r="F12" s="1">
        <v>2000</v>
      </c>
      <c r="G12" s="5">
        <f>PRODUCT(D12:F12)</f>
        <v>100</v>
      </c>
      <c r="H12" s="2"/>
    </row>
    <row r="13" spans="1:11" ht="26.1" customHeight="1" x14ac:dyDescent="0.3">
      <c r="C13" s="6" t="s">
        <v>8</v>
      </c>
      <c r="G13" s="5">
        <v>50</v>
      </c>
      <c r="H13" s="2"/>
    </row>
    <row r="14" spans="1:11" ht="26.1" customHeight="1" x14ac:dyDescent="0.3">
      <c r="B14" s="8"/>
      <c r="C14" s="8"/>
      <c r="D14" s="8"/>
      <c r="E14" s="8"/>
      <c r="F14" s="9" t="s">
        <v>2</v>
      </c>
      <c r="G14" s="7">
        <f>SUM(G11:G13,0)</f>
        <v>475</v>
      </c>
      <c r="H14" s="2" t="s">
        <v>27</v>
      </c>
    </row>
    <row r="15" spans="1:11" ht="26.1" customHeight="1" x14ac:dyDescent="0.3">
      <c r="B15" s="8"/>
      <c r="C15" s="8"/>
      <c r="D15" s="8"/>
      <c r="E15" s="8"/>
      <c r="F15" s="9"/>
      <c r="G15" s="7"/>
      <c r="H15" s="2"/>
    </row>
    <row r="16" spans="1:11" ht="26.1" customHeight="1" x14ac:dyDescent="0.3">
      <c r="B16" s="10">
        <v>3</v>
      </c>
      <c r="C16" s="3" t="s">
        <v>9</v>
      </c>
      <c r="D16" s="8"/>
      <c r="E16" s="8"/>
      <c r="F16" s="8"/>
      <c r="G16" s="8"/>
      <c r="H16" s="8"/>
    </row>
    <row r="17" spans="2:8" ht="26.1" customHeight="1" x14ac:dyDescent="0.3">
      <c r="C17" s="6" t="s">
        <v>7</v>
      </c>
      <c r="D17" s="4">
        <v>1</v>
      </c>
      <c r="E17" s="4">
        <v>0.13</v>
      </c>
      <c r="F17" s="1">
        <v>2500</v>
      </c>
      <c r="G17" s="5">
        <f>PRODUCT(D17:F17)</f>
        <v>325</v>
      </c>
      <c r="H17" s="2"/>
    </row>
    <row r="18" spans="2:8" ht="26.1" customHeight="1" x14ac:dyDescent="0.3">
      <c r="C18" s="6" t="s">
        <v>10</v>
      </c>
      <c r="D18" s="4">
        <v>1</v>
      </c>
      <c r="E18" s="4">
        <v>0.15</v>
      </c>
      <c r="F18" s="1">
        <v>2000</v>
      </c>
      <c r="G18" s="5">
        <f>PRODUCT(D18:F18)</f>
        <v>300</v>
      </c>
      <c r="H18" s="2"/>
    </row>
    <row r="19" spans="2:8" ht="26.1" customHeight="1" x14ac:dyDescent="0.3">
      <c r="B19" s="8"/>
      <c r="C19" s="8"/>
      <c r="D19" s="8"/>
      <c r="E19" s="8"/>
      <c r="F19" s="9" t="s">
        <v>2</v>
      </c>
      <c r="G19" s="7">
        <f>SUM(G17:G18,0)</f>
        <v>625</v>
      </c>
      <c r="H19" s="2" t="s">
        <v>27</v>
      </c>
    </row>
    <row r="20" spans="2:8" ht="26.1" customHeight="1" x14ac:dyDescent="0.3">
      <c r="B20" s="8"/>
      <c r="C20" s="3"/>
      <c r="D20" s="8"/>
      <c r="E20" s="8"/>
      <c r="F20" s="8"/>
      <c r="G20" s="8"/>
      <c r="H20" s="8"/>
    </row>
    <row r="21" spans="2:8" x14ac:dyDescent="0.3">
      <c r="B21" s="2">
        <v>4</v>
      </c>
      <c r="C21" s="3" t="s">
        <v>28</v>
      </c>
    </row>
    <row r="22" spans="2:8" x14ac:dyDescent="0.3">
      <c r="B22" s="2"/>
      <c r="C22" s="3"/>
    </row>
    <row r="23" spans="2:8" x14ac:dyDescent="0.3">
      <c r="B23" s="2"/>
      <c r="C23" s="3"/>
    </row>
    <row r="24" spans="2:8" x14ac:dyDescent="0.3">
      <c r="B24" s="11" t="s">
        <v>15</v>
      </c>
      <c r="C24" s="6" t="s">
        <v>17</v>
      </c>
      <c r="D24" s="4">
        <v>3.5</v>
      </c>
      <c r="E24" s="4">
        <v>0.23</v>
      </c>
      <c r="F24" s="1">
        <v>1920</v>
      </c>
      <c r="G24" s="5">
        <f>D24*E24*F24</f>
        <v>1545.6000000000001</v>
      </c>
    </row>
    <row r="25" spans="2:8" x14ac:dyDescent="0.3">
      <c r="B25" s="2"/>
      <c r="C25" s="6"/>
      <c r="F25" s="9" t="s">
        <v>2</v>
      </c>
      <c r="G25" s="7">
        <f>CEILING(G24,3.5)</f>
        <v>1547</v>
      </c>
      <c r="H25" s="2" t="s">
        <v>1</v>
      </c>
    </row>
    <row r="26" spans="2:8" x14ac:dyDescent="0.3">
      <c r="B26" s="2"/>
      <c r="C26" s="3"/>
    </row>
    <row r="27" spans="2:8" x14ac:dyDescent="0.3">
      <c r="B27" s="11" t="s">
        <v>24</v>
      </c>
      <c r="C27" s="6" t="s">
        <v>18</v>
      </c>
      <c r="D27" s="4">
        <v>3.5</v>
      </c>
      <c r="E27" s="4">
        <v>0.23</v>
      </c>
      <c r="F27" s="1">
        <v>1920</v>
      </c>
      <c r="G27" s="5">
        <f>D27*E27*F27</f>
        <v>1545.6000000000001</v>
      </c>
    </row>
    <row r="28" spans="2:8" x14ac:dyDescent="0.3">
      <c r="B28" s="2"/>
      <c r="C28" s="6"/>
      <c r="F28" s="9" t="s">
        <v>2</v>
      </c>
      <c r="G28" s="7">
        <f>CEILING(G27,3.5)</f>
        <v>1547</v>
      </c>
      <c r="H28" s="2" t="s">
        <v>1</v>
      </c>
    </row>
    <row r="29" spans="2:8" x14ac:dyDescent="0.3">
      <c r="B29" s="2"/>
      <c r="C29" s="6"/>
      <c r="F29" s="9"/>
      <c r="G29" s="7"/>
      <c r="H29" s="2"/>
    </row>
    <row r="30" spans="2:8" x14ac:dyDescent="0.3">
      <c r="B30" s="11" t="s">
        <v>25</v>
      </c>
      <c r="C30" s="6" t="s">
        <v>16</v>
      </c>
      <c r="D30" s="4">
        <v>3.5</v>
      </c>
      <c r="E30" s="4">
        <v>0.115</v>
      </c>
      <c r="F30" s="1">
        <v>1920</v>
      </c>
      <c r="G30" s="5">
        <f>D30*E30*F30</f>
        <v>772.80000000000007</v>
      </c>
    </row>
    <row r="31" spans="2:8" x14ac:dyDescent="0.3">
      <c r="B31" s="2"/>
      <c r="C31" s="6"/>
      <c r="F31" s="9" t="s">
        <v>2</v>
      </c>
      <c r="G31" s="7">
        <f>CEILING(G30,3.5)</f>
        <v>773.5</v>
      </c>
      <c r="H31" s="2" t="s">
        <v>1</v>
      </c>
    </row>
    <row r="32" spans="2:8" x14ac:dyDescent="0.3">
      <c r="B32" s="2"/>
      <c r="C32" s="6"/>
      <c r="F32" s="9"/>
      <c r="G32" s="7"/>
      <c r="H32" s="2"/>
    </row>
    <row r="33" spans="2:8" x14ac:dyDescent="0.3">
      <c r="B33" s="11" t="s">
        <v>26</v>
      </c>
      <c r="C33" s="6" t="s">
        <v>11</v>
      </c>
      <c r="D33" s="4">
        <v>0.9</v>
      </c>
      <c r="E33" s="4">
        <v>0.23</v>
      </c>
      <c r="F33" s="9">
        <v>1920</v>
      </c>
      <c r="G33" s="5">
        <f>D33*E33*F33</f>
        <v>397.44000000000005</v>
      </c>
      <c r="H33" s="2"/>
    </row>
    <row r="34" spans="2:8" x14ac:dyDescent="0.3">
      <c r="B34" s="2"/>
      <c r="C34" s="6"/>
      <c r="F34" s="9" t="s">
        <v>29</v>
      </c>
      <c r="G34" s="7">
        <v>400</v>
      </c>
      <c r="H34" s="2" t="s">
        <v>1</v>
      </c>
    </row>
    <row r="35" spans="2:8" x14ac:dyDescent="0.3">
      <c r="B35" s="2"/>
      <c r="C35" s="6"/>
      <c r="F35" s="9"/>
      <c r="G35" s="7"/>
      <c r="H35" s="2"/>
    </row>
    <row r="36" spans="2:8" ht="21.95" customHeight="1" x14ac:dyDescent="0.3">
      <c r="B36" s="2"/>
      <c r="C36" s="6"/>
      <c r="F36" s="9"/>
      <c r="G36" s="7"/>
      <c r="H36" s="2"/>
    </row>
    <row r="37" spans="2:8" ht="30" customHeight="1" x14ac:dyDescent="0.3">
      <c r="B37" s="2">
        <v>5</v>
      </c>
      <c r="C37" s="3" t="s">
        <v>19</v>
      </c>
      <c r="H37" s="2"/>
    </row>
    <row r="38" spans="2:8" ht="30" customHeight="1" x14ac:dyDescent="0.3">
      <c r="B38" s="2"/>
      <c r="C38" s="6" t="s">
        <v>7</v>
      </c>
      <c r="D38" s="4">
        <v>1</v>
      </c>
      <c r="E38" s="4">
        <v>0.13</v>
      </c>
      <c r="F38" s="1">
        <v>2500</v>
      </c>
      <c r="G38" s="5">
        <f>PRODUCT(D38:F38)</f>
        <v>325</v>
      </c>
      <c r="H38" s="2"/>
    </row>
    <row r="39" spans="2:8" ht="30" customHeight="1" x14ac:dyDescent="0.3">
      <c r="B39" s="2"/>
      <c r="C39" s="6" t="s">
        <v>4</v>
      </c>
      <c r="D39" s="4">
        <v>1</v>
      </c>
      <c r="E39" s="4">
        <v>0.05</v>
      </c>
      <c r="F39" s="1">
        <v>2000</v>
      </c>
      <c r="G39" s="5">
        <f>PRODUCT(D39:F39)</f>
        <v>100</v>
      </c>
      <c r="H39" s="2"/>
    </row>
    <row r="40" spans="2:8" ht="30" customHeight="1" x14ac:dyDescent="0.3">
      <c r="B40" s="2"/>
      <c r="C40" s="6" t="s">
        <v>20</v>
      </c>
      <c r="D40" s="4">
        <v>0.25</v>
      </c>
      <c r="E40" s="4">
        <v>1</v>
      </c>
      <c r="F40" s="1">
        <v>1900</v>
      </c>
      <c r="G40" s="5">
        <f>PRODUCT(D40:F40)</f>
        <v>475</v>
      </c>
      <c r="H40" s="2"/>
    </row>
    <row r="41" spans="2:8" ht="30" customHeight="1" x14ac:dyDescent="0.3">
      <c r="B41" s="2"/>
      <c r="C41" s="6"/>
      <c r="F41" s="9" t="s">
        <v>2</v>
      </c>
      <c r="G41" s="7">
        <f>SUM(G38:G40,0)</f>
        <v>900</v>
      </c>
      <c r="H41" s="2" t="s">
        <v>27</v>
      </c>
    </row>
    <row r="42" spans="2:8" ht="30" customHeight="1" x14ac:dyDescent="0.3">
      <c r="C42" s="6"/>
      <c r="F42" s="9"/>
      <c r="G42" s="7"/>
      <c r="H42" s="2"/>
    </row>
    <row r="43" spans="2:8" ht="30" customHeight="1" x14ac:dyDescent="0.3">
      <c r="B43" s="1">
        <v>6</v>
      </c>
      <c r="C43" s="3" t="s">
        <v>21</v>
      </c>
      <c r="H43" s="2"/>
    </row>
    <row r="44" spans="2:8" ht="30" customHeight="1" x14ac:dyDescent="0.3">
      <c r="C44" s="6" t="s">
        <v>7</v>
      </c>
      <c r="D44" s="4">
        <v>1</v>
      </c>
      <c r="E44" s="4">
        <v>0.13</v>
      </c>
      <c r="F44" s="1">
        <v>2500</v>
      </c>
      <c r="G44" s="5">
        <f>PRODUCT(D44:F44)</f>
        <v>325</v>
      </c>
      <c r="H44" s="2"/>
    </row>
    <row r="45" spans="2:8" ht="30" customHeight="1" x14ac:dyDescent="0.3">
      <c r="C45" s="6" t="s">
        <v>4</v>
      </c>
      <c r="D45" s="4">
        <v>1</v>
      </c>
      <c r="E45" s="4">
        <v>0.05</v>
      </c>
      <c r="F45" s="1">
        <v>2300</v>
      </c>
      <c r="G45" s="5">
        <f>PRODUCT(D45:F45)</f>
        <v>115</v>
      </c>
      <c r="H45" s="2"/>
    </row>
    <row r="46" spans="2:8" ht="30" customHeight="1" x14ac:dyDescent="0.3">
      <c r="C46" s="6" t="s">
        <v>22</v>
      </c>
      <c r="G46" s="5">
        <v>1440</v>
      </c>
      <c r="H46" s="2"/>
    </row>
    <row r="47" spans="2:8" ht="30" customHeight="1" x14ac:dyDescent="0.3">
      <c r="C47" s="6" t="s">
        <v>23</v>
      </c>
      <c r="G47" s="5">
        <v>939</v>
      </c>
      <c r="H47" s="2"/>
    </row>
    <row r="48" spans="2:8" ht="30" customHeight="1" x14ac:dyDescent="0.3">
      <c r="C48" s="6"/>
      <c r="F48" s="9" t="s">
        <v>2</v>
      </c>
      <c r="G48" s="7">
        <f>SUM(G44:G47)</f>
        <v>2819</v>
      </c>
      <c r="H48" s="2" t="s">
        <v>27</v>
      </c>
    </row>
    <row r="49" spans="3:8" ht="30" customHeight="1" x14ac:dyDescent="0.3">
      <c r="C49" s="6"/>
      <c r="F49" s="9"/>
      <c r="G49" s="7"/>
      <c r="H49" s="2"/>
    </row>
  </sheetData>
  <mergeCells count="1">
    <mergeCell ref="A1:K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4" fitToHeight="20" orientation="portrait" r:id="rId1"/>
  <headerFooter>
    <oddFooter>&amp;C&amp;P&amp;RLoad calculation</oddFooter>
  </headerFooter>
  <rowBreaks count="1" manualBreakCount="1">
    <brk id="29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loading</vt:lpstr>
      <vt:lpstr>loading!Print_Area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Arul</cp:lastModifiedBy>
  <cp:lastPrinted>2017-07-27T21:09:57Z</cp:lastPrinted>
  <dcterms:created xsi:type="dcterms:W3CDTF">2012-05-23T09:45:37Z</dcterms:created>
  <dcterms:modified xsi:type="dcterms:W3CDTF">2022-10-17T13:29:17Z</dcterms:modified>
</cp:coreProperties>
</file>